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t\Documents\"/>
    </mc:Choice>
  </mc:AlternateContent>
  <xr:revisionPtr revIDLastSave="0" documentId="13_ncr:1_{E8FDA674-A8D6-4C93-A4B4-C022C1CD00BD}" xr6:coauthVersionLast="47" xr6:coauthVersionMax="47" xr10:uidLastSave="{00000000-0000-0000-0000-000000000000}"/>
  <bookViews>
    <workbookView xWindow="-110" yWindow="-110" windowWidth="25820" windowHeight="15500" xr2:uid="{4ADEA604-0252-4A6C-A026-BECCAB88927B}"/>
  </bookViews>
  <sheets>
    <sheet name="TravelDls Flujo de ca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7" i="1"/>
  <c r="B23" i="1"/>
  <c r="B22" i="1"/>
  <c r="B15" i="1"/>
  <c r="D17" i="1"/>
  <c r="C17" i="1"/>
  <c r="B17" i="1"/>
  <c r="B21" i="1"/>
  <c r="B16" i="1"/>
  <c r="E17" i="1"/>
  <c r="G17" i="1" s="1"/>
  <c r="G16" i="1"/>
  <c r="F16" i="1"/>
  <c r="E16" i="1"/>
  <c r="D16" i="1"/>
  <c r="C16" i="1"/>
  <c r="F14" i="1"/>
  <c r="G14" i="1"/>
  <c r="E14" i="1"/>
  <c r="D14" i="1"/>
  <c r="C14" i="1"/>
  <c r="G13" i="1"/>
  <c r="E13" i="1"/>
  <c r="D13" i="1"/>
  <c r="C13" i="1"/>
</calcChain>
</file>

<file path=xl/sharedStrings.xml><?xml version="1.0" encoding="utf-8"?>
<sst xmlns="http://schemas.openxmlformats.org/spreadsheetml/2006/main" count="50" uniqueCount="42">
  <si>
    <t>Concepto</t>
  </si>
  <si>
    <t>Valor</t>
  </si>
  <si>
    <t>Precio final que paga el cliente</t>
  </si>
  <si>
    <t>2 - ¿Cuánto deja un envío a TravelDLS? - Estos son datos supuestos</t>
  </si>
  <si>
    <t>Ingreso bruto de TravelDLS</t>
  </si>
  <si>
    <t>Comision cobrada por la pasarela</t>
  </si>
  <si>
    <t>Ingreso neto de TravelDLS por envio</t>
  </si>
  <si>
    <t xml:space="preserve">Explicacion </t>
  </si>
  <si>
    <t xml:space="preserve">Precio base que equivale a 100 dolares más el porcentaje de TravelDLS. </t>
  </si>
  <si>
    <t>Porcentaje que TravelDLS agrega al precio base. Representa el 8%</t>
  </si>
  <si>
    <t>Costo de procesar el pago sobre el total cobrado al cliente. Representa un 3%</t>
  </si>
  <si>
    <t>Monto que queda para TravelDLS después de pagar la pasarela.</t>
  </si>
  <si>
    <t>4 - Flujo de caja proyectado</t>
  </si>
  <si>
    <t>3 - Renovacion de dominio anual</t>
  </si>
  <si>
    <t>Año 0</t>
  </si>
  <si>
    <t>Año 1</t>
  </si>
  <si>
    <t>Año 2</t>
  </si>
  <si>
    <t>Año 3</t>
  </si>
  <si>
    <t>Año 4</t>
  </si>
  <si>
    <t>Año 5</t>
  </si>
  <si>
    <t>Envios por mes</t>
  </si>
  <si>
    <t>Ingresos de TravelDLS</t>
  </si>
  <si>
    <t>1 - Inversion Inicial y Costos operativos anuales - Son estimaciones</t>
  </si>
  <si>
    <t>Costos operativos</t>
  </si>
  <si>
    <t>Inversion inicial</t>
  </si>
  <si>
    <t>Flujo neto</t>
  </si>
  <si>
    <t>Flujo acumulado</t>
  </si>
  <si>
    <t>-</t>
  </si>
  <si>
    <t>TravelDLS Flujo de caja, VAN, TIR y PRI</t>
  </si>
  <si>
    <t>5 - Indicadores financieros</t>
  </si>
  <si>
    <t>Indicador</t>
  </si>
  <si>
    <t>Resultado</t>
  </si>
  <si>
    <t>Unidad</t>
  </si>
  <si>
    <t>VAN</t>
  </si>
  <si>
    <t>TIR</t>
  </si>
  <si>
    <t>PRI</t>
  </si>
  <si>
    <t>C$</t>
  </si>
  <si>
    <t>%</t>
  </si>
  <si>
    <t>Años</t>
  </si>
  <si>
    <t>Valor actual de todos los flujos futuros menos la inversión inicial. Se uso el 12% como tasa de descuento para la VAN</t>
  </si>
  <si>
    <t>Rentabilidad implícita del proyecto según sus flujos de caja.</t>
  </si>
  <si>
    <t>Tiempo aproximado que tarda en recuperarse la inversión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</si>
</sst>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[$C$-4C0A]* #,##0.00_-;\-[$C$-4C0A]* #,##0.00_-;_-[$C$-4C0A]* &quot;-&quot;??_-;_-@_-"/>
    <numFmt numFmtId="165" formatCode="&quot;$&quot;#,##0.00"/>
    <numFmt numFmtId="173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2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6" fillId="0" borderId="1" xfId="1" applyNumberFormat="1" applyFont="1" applyBorder="1"/>
    <xf numFmtId="0" fontId="3" fillId="2" borderId="1" xfId="0" applyFont="1" applyFill="1" applyBorder="1"/>
    <xf numFmtId="0" fontId="5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164" fontId="0" fillId="0" borderId="1" xfId="0" applyNumberFormat="1" applyBorder="1"/>
    <xf numFmtId="164" fontId="2" fillId="0" borderId="1" xfId="0" applyNumberFormat="1" applyFont="1" applyBorder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9" fontId="0" fillId="0" borderId="1" xfId="0" applyNumberFormat="1" applyBorder="1"/>
    <xf numFmtId="173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0605-C88E-49F8-AF9B-7B7FAA656090}">
  <dimension ref="A1:G23"/>
  <sheetViews>
    <sheetView tabSelected="1" zoomScale="67" workbookViewId="0">
      <selection activeCell="D32" sqref="D32"/>
    </sheetView>
  </sheetViews>
  <sheetFormatPr baseColWidth="10" defaultRowHeight="14.5" x14ac:dyDescent="0.35"/>
  <cols>
    <col min="1" max="1" width="57" bestFit="1" customWidth="1"/>
    <col min="2" max="2" width="13.453125" bestFit="1" customWidth="1"/>
    <col min="3" max="3" width="29.36328125" bestFit="1" customWidth="1"/>
    <col min="4" max="4" width="100.7265625" bestFit="1" customWidth="1"/>
    <col min="5" max="5" width="66.453125" bestFit="1" customWidth="1"/>
    <col min="6" max="7" width="13.453125" bestFit="1" customWidth="1"/>
  </cols>
  <sheetData>
    <row r="1" spans="1:7" ht="15.5" x14ac:dyDescent="0.35">
      <c r="A1" s="1" t="s">
        <v>28</v>
      </c>
      <c r="B1" s="1"/>
      <c r="C1" s="1"/>
      <c r="D1" s="1"/>
      <c r="E1" s="1"/>
    </row>
    <row r="3" spans="1:7" x14ac:dyDescent="0.35">
      <c r="A3" s="12" t="s">
        <v>22</v>
      </c>
      <c r="C3" s="4" t="s">
        <v>3</v>
      </c>
      <c r="D3" s="4"/>
      <c r="E3" s="4"/>
    </row>
    <row r="4" spans="1:7" x14ac:dyDescent="0.35">
      <c r="A4" s="8">
        <v>56834.239999999998</v>
      </c>
      <c r="C4" s="5" t="s">
        <v>0</v>
      </c>
      <c r="D4" s="6" t="s">
        <v>1</v>
      </c>
      <c r="E4" s="5" t="s">
        <v>7</v>
      </c>
    </row>
    <row r="5" spans="1:7" x14ac:dyDescent="0.35">
      <c r="A5" s="8">
        <v>68992.08</v>
      </c>
      <c r="C5" s="7" t="s">
        <v>2</v>
      </c>
      <c r="D5" s="8">
        <v>3954.96</v>
      </c>
      <c r="E5" s="9" t="s">
        <v>8</v>
      </c>
    </row>
    <row r="6" spans="1:7" x14ac:dyDescent="0.35">
      <c r="A6" s="12" t="s">
        <v>13</v>
      </c>
      <c r="C6" s="9" t="s">
        <v>4</v>
      </c>
      <c r="D6" s="8">
        <v>292.95999999999998</v>
      </c>
      <c r="E6" s="9" t="s">
        <v>9</v>
      </c>
    </row>
    <row r="7" spans="1:7" x14ac:dyDescent="0.35">
      <c r="A7" s="8">
        <v>439.44</v>
      </c>
      <c r="C7" s="10" t="s">
        <v>5</v>
      </c>
      <c r="D7" s="11">
        <v>118.65</v>
      </c>
      <c r="E7" s="9" t="s">
        <v>10</v>
      </c>
    </row>
    <row r="8" spans="1:7" x14ac:dyDescent="0.35">
      <c r="C8" s="9" t="s">
        <v>6</v>
      </c>
      <c r="D8" s="11">
        <v>174.31</v>
      </c>
      <c r="E8" s="9" t="s">
        <v>11</v>
      </c>
    </row>
    <row r="9" spans="1:7" x14ac:dyDescent="0.35">
      <c r="C9" s="3"/>
    </row>
    <row r="10" spans="1:7" ht="16" x14ac:dyDescent="0.4">
      <c r="A10" s="13" t="s">
        <v>12</v>
      </c>
      <c r="B10" s="13"/>
      <c r="C10" s="13"/>
      <c r="D10" s="13"/>
      <c r="E10" s="13"/>
      <c r="F10" s="13"/>
      <c r="G10" s="13"/>
    </row>
    <row r="11" spans="1:7" x14ac:dyDescent="0.35">
      <c r="A11" s="5" t="s">
        <v>0</v>
      </c>
      <c r="B11" s="14" t="s">
        <v>14</v>
      </c>
      <c r="C11" s="14" t="s">
        <v>15</v>
      </c>
      <c r="D11" s="14" t="s">
        <v>16</v>
      </c>
      <c r="E11" s="14" t="s">
        <v>17</v>
      </c>
      <c r="F11" s="14" t="s">
        <v>18</v>
      </c>
      <c r="G11" s="14" t="s">
        <v>19</v>
      </c>
    </row>
    <row r="12" spans="1:7" x14ac:dyDescent="0.35">
      <c r="A12" s="15" t="s">
        <v>20</v>
      </c>
      <c r="B12" s="9">
        <v>0</v>
      </c>
      <c r="C12" s="9">
        <v>60</v>
      </c>
      <c r="D12" s="9">
        <v>90</v>
      </c>
      <c r="E12" s="9">
        <v>120</v>
      </c>
      <c r="F12" s="9">
        <v>150</v>
      </c>
      <c r="G12" s="9">
        <v>180</v>
      </c>
    </row>
    <row r="13" spans="1:7" x14ac:dyDescent="0.35">
      <c r="A13" s="15" t="s">
        <v>21</v>
      </c>
      <c r="B13" s="17" t="s">
        <v>27</v>
      </c>
      <c r="C13" s="18">
        <f>C12*12*$D$8</f>
        <v>125503.2</v>
      </c>
      <c r="D13" s="18">
        <f>D12*12*$D$8</f>
        <v>188254.8</v>
      </c>
      <c r="E13" s="18">
        <f>E12*12*$D$8</f>
        <v>251006.4</v>
      </c>
      <c r="F13" s="18">
        <f>F12*12*$D$8</f>
        <v>313758</v>
      </c>
      <c r="G13" s="18">
        <f>G12*12*$D$8</f>
        <v>376509.6</v>
      </c>
    </row>
    <row r="14" spans="1:7" x14ac:dyDescent="0.35">
      <c r="A14" s="15" t="s">
        <v>23</v>
      </c>
      <c r="B14" s="16" t="s">
        <v>27</v>
      </c>
      <c r="C14" s="18">
        <f>$A$5</f>
        <v>68992.08</v>
      </c>
      <c r="D14" s="18">
        <f>$A$5+$A$7</f>
        <v>69431.520000000004</v>
      </c>
      <c r="E14" s="18">
        <f>$A$5+$A$7</f>
        <v>69431.520000000004</v>
      </c>
      <c r="F14" s="18">
        <f>$A$5+$A$7</f>
        <v>69431.520000000004</v>
      </c>
      <c r="G14" s="18">
        <f>$A$5+$A$7</f>
        <v>69431.520000000004</v>
      </c>
    </row>
    <row r="15" spans="1:7" x14ac:dyDescent="0.35">
      <c r="A15" s="15" t="s">
        <v>24</v>
      </c>
      <c r="B15" s="19">
        <f>-$A$4</f>
        <v>-56834.239999999998</v>
      </c>
      <c r="C15" s="16" t="s">
        <v>27</v>
      </c>
      <c r="D15" s="16" t="s">
        <v>27</v>
      </c>
      <c r="E15" s="16" t="s">
        <v>27</v>
      </c>
      <c r="F15" s="16" t="s">
        <v>27</v>
      </c>
      <c r="G15" s="16" t="s">
        <v>27</v>
      </c>
    </row>
    <row r="16" spans="1:7" x14ac:dyDescent="0.35">
      <c r="A16" s="15" t="s">
        <v>25</v>
      </c>
      <c r="B16" s="19">
        <f>-$A$4</f>
        <v>-56834.239999999998</v>
      </c>
      <c r="C16" s="18">
        <f>C13-C14</f>
        <v>56511.119999999995</v>
      </c>
      <c r="D16" s="18">
        <f>D13-D14</f>
        <v>118823.27999999998</v>
      </c>
      <c r="E16" s="18">
        <f>E13-E14</f>
        <v>181574.88</v>
      </c>
      <c r="F16" s="18">
        <f>F13-F14</f>
        <v>244326.47999999998</v>
      </c>
      <c r="G16" s="18">
        <f>G13-G14</f>
        <v>307078.07999999996</v>
      </c>
    </row>
    <row r="17" spans="1:7" x14ac:dyDescent="0.35">
      <c r="A17" s="15" t="s">
        <v>26</v>
      </c>
      <c r="B17" s="19">
        <f>-$A$4</f>
        <v>-56834.239999999998</v>
      </c>
      <c r="C17" s="19">
        <f>(B17) +C16</f>
        <v>-323.12000000000262</v>
      </c>
      <c r="D17" s="18">
        <f>C17+D16</f>
        <v>118500.15999999997</v>
      </c>
      <c r="E17" s="18">
        <f>D17+E16</f>
        <v>300075.03999999998</v>
      </c>
      <c r="F17" s="18">
        <f>E17+F16</f>
        <v>544401.52</v>
      </c>
      <c r="G17" s="18">
        <f>F17+G16</f>
        <v>851479.6</v>
      </c>
    </row>
    <row r="18" spans="1:7" x14ac:dyDescent="0.35">
      <c r="A18" s="2"/>
      <c r="C18" s="20"/>
    </row>
    <row r="19" spans="1:7" x14ac:dyDescent="0.35">
      <c r="A19" s="21" t="s">
        <v>29</v>
      </c>
      <c r="B19" s="21"/>
      <c r="C19" s="21"/>
      <c r="D19" s="21"/>
    </row>
    <row r="20" spans="1:7" x14ac:dyDescent="0.35">
      <c r="A20" s="5" t="s">
        <v>30</v>
      </c>
      <c r="B20" s="5" t="s">
        <v>31</v>
      </c>
      <c r="C20" s="5" t="s">
        <v>32</v>
      </c>
      <c r="D20" s="5" t="s">
        <v>0</v>
      </c>
    </row>
    <row r="21" spans="1:7" x14ac:dyDescent="0.35">
      <c r="A21" s="22" t="s">
        <v>33</v>
      </c>
      <c r="B21" s="18">
        <f>NPV(0.12,C16:G16 ) + B16</f>
        <v>547106.96601999889</v>
      </c>
      <c r="C21" s="9" t="s">
        <v>36</v>
      </c>
      <c r="D21" s="9" t="s">
        <v>39</v>
      </c>
    </row>
    <row r="22" spans="1:7" x14ac:dyDescent="0.35">
      <c r="A22" s="22" t="s">
        <v>34</v>
      </c>
      <c r="B22" s="23">
        <f>IRR(B16:G16)</f>
        <v>1.6159304462167148</v>
      </c>
      <c r="C22" s="9" t="s">
        <v>37</v>
      </c>
      <c r="D22" s="9" t="s">
        <v>40</v>
      </c>
    </row>
    <row r="23" spans="1:7" x14ac:dyDescent="0.35">
      <c r="A23" s="22" t="s">
        <v>35</v>
      </c>
      <c r="B23" s="24">
        <f>1+ABS(C17)/D16</f>
        <v>1.002719332440579</v>
      </c>
      <c r="C23" s="9" t="s">
        <v>38</v>
      </c>
      <c r="D23" s="9" t="s">
        <v>41</v>
      </c>
    </row>
  </sheetData>
  <mergeCells count="4">
    <mergeCell ref="A1:E1"/>
    <mergeCell ref="C3:E3"/>
    <mergeCell ref="A10:G10"/>
    <mergeCell ref="A19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TravelDls Flujo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Jareth said Bonilla</dc:creator>
  <cp:lastModifiedBy>Jareth said Bonilla</cp:lastModifiedBy>
  <dcterms:created xsi:type="dcterms:W3CDTF">2026-10-06T01:27:06Z</dcterms:created>
  <dcterms:modified xsi:type="dcterms:W3CDTF">2026-10-06T03:03:19Z</dcterms:modified>
</cp:coreProperties>
</file>